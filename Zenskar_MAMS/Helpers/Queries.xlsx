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<sst xmlns="http://schemas.openxmlformats.org/spreadsheetml/2006/main" count="282" uniqueCount="108">
  <si>
    <t>Slno</t>
  </si>
  <si>
    <t>FileName</t>
  </si>
  <si>
    <t>Query</t>
  </si>
  <si>
    <t>QueryType</t>
  </si>
  <si>
    <t>Function</t>
  </si>
  <si>
    <t>Converted</t>
  </si>
  <si>
    <t>Table Models</t>
  </si>
  <si>
    <t>Working</t>
  </si>
  <si>
    <t>Login</t>
  </si>
  <si>
    <t>SELECT User_ID, User_Name, User_Type, Status FROM User_Table WHERE login_ID = @loginId AND Password = @password";</t>
  </si>
  <si>
    <t>Select</t>
  </si>
  <si>
    <t>Yes</t>
  </si>
  <si>
    <t>UserTable
LoginUser</t>
  </si>
  <si>
    <t>Admin Home</t>
  </si>
  <si>
    <t>string condition = "CASE \r\n" +
    "WHEN Belt = 'White' \r\n AND DATEDIFF(DAY, LastExamDate, GETDATE()) &gt; 45 THEN 'Yes'\r\n" +
    "WHEN Belt = 'White Senior' \r\n AND DATEDIFF(DAY, LastExamDate, GETDATE()) &gt; 60 THEN 'Yes'\r\n" +
    "WHEN Belt = 'Yellow' \r\n AND DATEDIFF(DAY, LastExamDate, GETDATE()) &gt; 90 THEN 'Yes'\r\n" +
    "ELSE 'No'" +
    "END AS 'ExamDue' ";
string query = "SELECT Distinct Location,Belt,InstructorName,MasterName, " + condition + " FROM Student_Data" +
    " where StudentStatus = 'Active'";</t>
  </si>
  <si>
    <t>No</t>
  </si>
  <si>
    <t>Attendance</t>
  </si>
  <si>
    <t>Update No of Classes attended</t>
  </si>
  <si>
    <t>Update Total number of Classes</t>
  </si>
  <si>
    <t>SELECT * FROM Attendance WHERE Student_ID = @studentId</t>
  </si>
  <si>
    <t>Load All Attendance Data</t>
  </si>
  <si>
    <t>AttendanceTable</t>
  </si>
  <si>
    <t>SELECT Name, March FROM Attendance WHERE Student_ID = @studentId</t>
  </si>
  <si>
    <t>Load selected Month's Attendance Data</t>
  </si>
  <si>
    <t>Page</t>
  </si>
  <si>
    <t>Insert</t>
  </si>
  <si>
    <t>Update</t>
  </si>
  <si>
    <t>Delete</t>
  </si>
  <si>
    <t>Total Queries</t>
  </si>
  <si>
    <t>Completed</t>
  </si>
  <si>
    <t>Works</t>
  </si>
  <si>
    <t>Commited</t>
  </si>
  <si>
    <t>Comments</t>
  </si>
  <si>
    <t>Completed?</t>
  </si>
  <si>
    <t>AdminHome</t>
  </si>
  <si>
    <t>Has Case in the Query</t>
  </si>
  <si>
    <t>FilterWindow</t>
  </si>
  <si>
    <t>InstructorHome</t>
  </si>
  <si>
    <t>NA</t>
  </si>
  <si>
    <t>No Queries</t>
  </si>
  <si>
    <t>MasterHome</t>
  </si>
  <si>
    <t>Register</t>
  </si>
  <si>
    <t>RejectReasonWindow</t>
  </si>
  <si>
    <t>RequestDetailsWindow</t>
  </si>
  <si>
    <t>RequestsWindow</t>
  </si>
  <si>
    <t>SplashScreen</t>
  </si>
  <si>
    <t>StudentDetails</t>
  </si>
  <si>
    <t>StudentsList</t>
  </si>
  <si>
    <t>UserManagement</t>
  </si>
  <si>
    <t>Total</t>
  </si>
  <si>
    <t>MongoFilter</t>
  </si>
  <si>
    <t>Database\CreateTables.sql</t>
  </si>
  <si>
    <t>IF NOT EXISTS (SELECT * FROM sys.databases WHERE name = 'Zenskar_DB') BEGIN CREATE DATABASE Zenskar_DB; END</t>
  </si>
  <si>
    <t>Create Database</t>
  </si>
  <si>
    <t>select</t>
  </si>
  <si>
    <t>N/A</t>
  </si>
  <si>
    <t>USE Zenskar_DB;</t>
  </si>
  <si>
    <t>Use DB</t>
  </si>
  <si>
    <t>IF NOT EXISTS (SELECT * FROM sys.tables WHERE name = 'User_Table') BEGIN CREATE TABLE User_Table (User_ID INT IDENTITY(1,1) PRIMARY KEY, login_ID NVARCHAR(7) UNIQUE NOT NULL, User_Name NVARCHAR(100) NOT NULL, Contact_Number NVARCHAR(15) NOT NULL, Password NVARCHAR(100) NOT NULL, User_Type NVARCHAR(50) CHECK (User_Type IN ('Admin', 'Master', 'Instructor')) NOT NULL, Status NVARCHAR(50) CHECK (Status IN ('Inactive', 'Active', 'Pending Approval')) NOT NULL, Created_Date DATETIME DEFAULT GETDATE() NOT NULL, Approved_By NVARCHAR(100) NULL, Approved_Date DATETIME NULL); END</t>
  </si>
  <si>
    <t>Create Table</t>
  </si>
  <si>
    <t>IF NOT EXISTS (SELECT * FROM sys.tables WHERE name = 'Student_Data') BEGIN CREATE TABLE Student_Data (...) END</t>
  </si>
  <si>
    <t>IF NOT EXISTS (SELECT * FROM sys.tables WHERE name = 'Requests') BEGIN CREATE TABLE Requests (...) END</t>
  </si>
  <si>
    <t>IF NOT EXISTS (SELECT * FROM User_Table WHERE User_Type = 'Admin') BEGIN INSERT INTO User_Table (login_ID, User_Name, Contact_Number, Password, User_Type, Status, Created_Date, Approved_By, Approved_Date) VALUES ('ADMIN001', 'System Administrator', '0000000000', 'admin@123', 'Admin', 'Active', GETDATE(), 'System', GETDATE()); END</t>
  </si>
  <si>
    <t>INSERT</t>
  </si>
  <si>
    <t>insert</t>
  </si>
  <si>
    <t>Models\Attendance.xaml.cs</t>
  </si>
  <si>
    <t>UPDATE Attendance SET {Month} = '{updateValue}' WHERE Student_ID = @studentId</t>
  </si>
  <si>
    <t>update</t>
  </si>
  <si>
    <t>SELECT</t>
  </si>
  <si>
    <t>SELECT Name, {SelectedMonth} FROM Attendance WHERE Student_ID = @studentId</t>
  </si>
  <si>
    <t>Models\Register.xaml.cs</t>
  </si>
  <si>
    <t>INSERT INTO User_Table (login_ID, User_Name, Contact_Number, Password, User_Type, Status, Created_Date) VALUES (@loginId, @userName, @contactNumber, @password, @userType, @status, @createdDate)</t>
  </si>
  <si>
    <t>INSERT INTO Requests (RequestType, RequestedBy, Status, RequestedDate) VALUES (@requestType, @requestedBy, 'Open', @requestedDate)</t>
  </si>
  <si>
    <t>SELECT MAX(login_ID) FROM User_Table WHERE login_ID LIKE '{baseName}%'</t>
  </si>
  <si>
    <t>Models\StudentDetails.xaml.cs</t>
  </si>
  <si>
    <t>SELECT User_Name FROM User_Table WHERE User_Type = 'Instructor' AND Status = 'Active'</t>
  </si>
  <si>
    <t>SELECT User_Name FROM User_Table WHERE User_Type = 'Master' AND Status = 'Active'</t>
  </si>
  <si>
    <t>SELECT InstructorName FROM Student_Data WHERE Student_ID = @studentId</t>
  </si>
  <si>
    <t>SELECT * FROM Student_Data WHERE Student_ID = @studentId</t>
  </si>
  <si>
    <t>INSERT INTO Student_Data (...) VALUES (@name, @dob, @age, @gender, @location, @belt, @instructorName, @masterName, @contactNumber, @parentsName, @medicalConditions, @lastExamDate, @attempts, @dateOfJoining, @comments, 'Active')</t>
  </si>
  <si>
    <t>Select Student_ID From Student_Data where Name = @name and ParentsName = @parentsName</t>
  </si>
  <si>
    <t>INSERT INTO Attendance ( Student_ID, Name, January, February, March, April, May, June, July, August, September, October, November, December ) VALUES (@StudentId, @name, '00-00-2025', ...)</t>
  </si>
  <si>
    <t>UPDATE Student_Data SET ... WHERE Student_ID = @studentId</t>
  </si>
  <si>
    <t>INSERT INTO Requests (RequestType, RequestedBy, Student_ID, Status, RequestedDate, UpdatedData) VALUES (@requestType, @requestedBy, @studentId, 'Open', @requestedDate, @updatedData)</t>
  </si>
  <si>
    <t>Models\RequestsWindow.xaml.cs</t>
  </si>
  <si>
    <t>SELECT R.*, CASE WHEN R.Student_ID IS NOT NULL THEN S.Name ELSE NULL END AS StudentName FROM Requests R LEFT JOIN Student_Data S ON R.Student_ID = S.Student_ID WHERE 1=1 ... ORDER BY R.RequestedDate DESC</t>
  </si>
  <si>
    <t>SELECT * FROM User_Table WHERE User_Name = @userName</t>
  </si>
  <si>
    <t>UPDATE Requests SET Status = 'Rejected', RejectedReason = @rejectedReason, ApprovedBy = @approvedBy, ApprovedDate = @approvedDate WHERE Request_ID = @requestId</t>
  </si>
  <si>
    <t>UPDATE Requests SET Status = 'Approved', ApprovedBy = @approvedBy, ApprovedDate = @approvedDate WHERE Request_ID = @requestId</t>
  </si>
  <si>
    <t>UPDATE User_Table SET Status = 'Active', Approved_By = @approvedBy, Approved_Date = @approvedDate WHERE User_Name = @userName</t>
  </si>
  <si>
    <t>UPDATE Student_Data SET {dynamic updateParts} WHERE Student_ID = @studentId</t>
  </si>
  <si>
    <t>DELETE FROM Student_Data WHERE Student_ID = @studentId</t>
  </si>
  <si>
    <t>delete</t>
  </si>
  <si>
    <t>Models\UserManagement.xaml.cs</t>
  </si>
  <si>
    <t>SELECT * FROM User_Table WHERE User_Type != 'Admin' ... ORDER BY Created_Date DESC</t>
  </si>
  <si>
    <t>UPDATE User_Table SET Status = @status WHERE User_ID = @userId</t>
  </si>
  <si>
    <t>UPDATE User_Table SET Password = @password WHERE User_ID = @userId</t>
  </si>
  <si>
    <t>SELECT COUNT(*) FROM Student_Data WHERE MasterName = @userName</t>
  </si>
  <si>
    <t>SELECT COUNT(*) FROM Student_Data WHERE InstructorName = @userName</t>
  </si>
  <si>
    <t>DELETE FROM User_Table WHERE User_ID = @userId</t>
  </si>
  <si>
    <t>Models\StudentsList.xaml.cs</t>
  </si>
  <si>
    <t>SELECT *, CASE ... END AS 'ExamDue' FROM Student_Data</t>
  </si>
  <si>
    <t>SELECT StudentStatus FROM Student_Data WHERE Student_ID = @studentId</t>
  </si>
  <si>
    <t>UPDATE Student_Data SET StudentStatus = 'Stopped' WHERE Student_ID = @studentId</t>
  </si>
  <si>
    <t>`</t>
  </si>
  <si>
    <t>UPDATE Student_Data SET StudentStatus = 'Active' WHERE Student_ID = @studentId</t>
  </si>
  <si>
    <t>Models\MasterHome.xaml.cs</t>
  </si>
  <si>
    <t>SELECT Distinct Location,Belt,InstructorName,MasterName, {condition} FROM Student_Data where MasterName = '@master' AND StudentStatus = 'Active'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</si>
</sst>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NumberFormat="1" applyBorder="1">
      <alignment vertical="center"/>
    </xf>
    <xf numFmtId="0" fontId="1" fillId="2" borderId="1" xfId="0" applyFont="1" applyFill="1" applyBorder="1">
      <alignment vertical="center"/>
    </xf>
    <xf numFmtId="0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D3" sqref="D3"/>
    </sheetView>
  </sheetViews>
  <sheetFormatPr defaultColWidth="9.14285714285714" defaultRowHeight="15" outlineLevelCol="7"/>
  <cols>
    <col min="2" max="2" width="13.5714285714286" customWidth="1"/>
    <col min="3" max="3" width="110.571428571429" customWidth="1"/>
    <col min="4" max="4" width="11.4285714285714" customWidth="1"/>
    <col min="5" max="5" width="28.8571428571429" customWidth="1"/>
    <col min="6" max="6" width="11" customWidth="1"/>
    <col min="7" max="7" width="17.5714285714286" customWidth="1"/>
  </cols>
  <sheetData>
    <row r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ht="30" spans="1:8">
      <c r="A2">
        <v>1</v>
      </c>
      <c r="B2" t="s">
        <v>8</v>
      </c>
      <c r="C2" t="s">
        <v>9</v>
      </c>
      <c r="D2" t="s">
        <v>10</v>
      </c>
      <c r="F2" t="s">
        <v>11</v>
      </c>
      <c r="G2" s="16" t="s">
        <v>12</v>
      </c>
      <c r="H2" t="s">
        <v>11</v>
      </c>
    </row>
    <row r="3" ht="135" spans="1:8">
      <c r="A3">
        <v>2</v>
      </c>
      <c r="B3" t="s">
        <v>13</v>
      </c>
      <c r="C3" s="17" t="s">
        <v>14</v>
      </c>
      <c r="D3" t="s">
        <v>10</v>
      </c>
      <c r="E3" s="17"/>
      <c r="F3" t="s">
        <v>15</v>
      </c>
      <c r="H3" t="s">
        <v>15</v>
      </c>
    </row>
    <row r="4" spans="1:5">
      <c r="A4">
        <v>3</v>
      </c>
      <c r="B4" t="s">
        <v>16</v>
      </c>
      <c r="C4" t="s">
        <v>17</v>
      </c>
      <c r="E4" s="17"/>
    </row>
    <row r="5" spans="1:5">
      <c r="A5">
        <v>4</v>
      </c>
      <c r="B5" t="s">
        <v>16</v>
      </c>
      <c r="C5" t="s">
        <v>18</v>
      </c>
      <c r="E5" s="17"/>
    </row>
    <row r="6" spans="1:8">
      <c r="A6">
        <v>5</v>
      </c>
      <c r="B6" t="s">
        <v>16</v>
      </c>
      <c r="C6" t="s">
        <v>19</v>
      </c>
      <c r="D6" t="s">
        <v>10</v>
      </c>
      <c r="E6" s="17" t="s">
        <v>20</v>
      </c>
      <c r="F6" t="s">
        <v>11</v>
      </c>
      <c r="G6" t="s">
        <v>21</v>
      </c>
      <c r="H6" t="s">
        <v>11</v>
      </c>
    </row>
    <row r="7" ht="30" spans="1:8">
      <c r="A7">
        <v>6</v>
      </c>
      <c r="B7" t="s">
        <v>16</v>
      </c>
      <c r="C7" t="s">
        <v>22</v>
      </c>
      <c r="D7" t="s">
        <v>10</v>
      </c>
      <c r="E7" s="17" t="s">
        <v>23</v>
      </c>
      <c r="F7" t="s">
        <v>11</v>
      </c>
      <c r="G7" t="s">
        <v>21</v>
      </c>
      <c r="H7" t="s">
        <v>11</v>
      </c>
    </row>
    <row r="8" spans="5:5">
      <c r="E8" s="17"/>
    </row>
    <row r="9" spans="5:5">
      <c r="E9" s="17"/>
    </row>
    <row r="10" spans="5:5">
      <c r="E10" s="1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K8" sqref="K8"/>
    </sheetView>
  </sheetViews>
  <sheetFormatPr defaultColWidth="9.14285714285714" defaultRowHeight="15"/>
  <cols>
    <col min="1" max="1" width="5.42857142857143" style="1" customWidth="1"/>
    <col min="2" max="2" width="24" customWidth="1"/>
    <col min="3" max="3" width="7" customWidth="1"/>
    <col min="4" max="4" width="6.71428571428571" customWidth="1"/>
    <col min="5" max="5" width="8" customWidth="1"/>
    <col min="6" max="6" width="7.57142857142857" customWidth="1"/>
    <col min="7" max="7" width="12.4285714285714" style="1" customWidth="1"/>
    <col min="8" max="8" width="11.5714285714286" style="1" customWidth="1"/>
    <col min="9" max="9" width="7.14285714285714" style="1" customWidth="1"/>
    <col min="10" max="10" width="11" customWidth="1"/>
    <col min="11" max="11" width="22" customWidth="1"/>
    <col min="12" max="12" width="20.5714285714286" customWidth="1"/>
  </cols>
  <sheetData>
    <row r="1" spans="1:12">
      <c r="A1" s="2" t="s">
        <v>0</v>
      </c>
      <c r="B1" s="2" t="s">
        <v>24</v>
      </c>
      <c r="C1" s="2" t="s">
        <v>10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12" t="s">
        <v>31</v>
      </c>
      <c r="K1" s="12" t="s">
        <v>32</v>
      </c>
      <c r="L1" s="12" t="s">
        <v>33</v>
      </c>
    </row>
    <row r="2" spans="1:12">
      <c r="A2" s="3">
        <v>1</v>
      </c>
      <c r="B2" s="4" t="s">
        <v>8</v>
      </c>
      <c r="C2" s="4">
        <v>1</v>
      </c>
      <c r="D2" s="4"/>
      <c r="E2" s="4"/>
      <c r="F2" s="4"/>
      <c r="G2" s="5">
        <f>SUM(C2:F2)</f>
        <v>1</v>
      </c>
      <c r="H2" s="3">
        <v>1</v>
      </c>
      <c r="I2" s="3">
        <v>1</v>
      </c>
      <c r="J2" s="4" t="s">
        <v>11</v>
      </c>
      <c r="K2" s="4"/>
      <c r="L2" s="4" t="str">
        <f>IF(AND(G2&gt;0,G2=H2),"Page completed","Yet to be completed")</f>
        <v>Page completed</v>
      </c>
    </row>
    <row r="3" spans="1:12">
      <c r="A3" s="3">
        <v>2</v>
      </c>
      <c r="B3" s="4" t="s">
        <v>34</v>
      </c>
      <c r="C3" s="4">
        <v>1</v>
      </c>
      <c r="D3" s="4"/>
      <c r="E3" s="4"/>
      <c r="F3" s="4"/>
      <c r="G3" s="5">
        <f t="shared" ref="G3:G15" si="0">SUM(C3:F3)</f>
        <v>1</v>
      </c>
      <c r="H3" s="3">
        <v>0</v>
      </c>
      <c r="I3" s="3">
        <v>0</v>
      </c>
      <c r="J3" s="4" t="s">
        <v>15</v>
      </c>
      <c r="K3" s="4" t="s">
        <v>35</v>
      </c>
      <c r="L3" s="4" t="str">
        <f t="shared" ref="L3:L16" si="1">IF(AND(G3&gt;0,G3=H3),"Page completed","Yet to be completed")</f>
        <v>Yet to be completed</v>
      </c>
    </row>
    <row r="4" spans="1:12">
      <c r="A4" s="3">
        <v>3</v>
      </c>
      <c r="B4" s="4" t="s">
        <v>16</v>
      </c>
      <c r="C4" s="4">
        <v>2</v>
      </c>
      <c r="D4" s="4"/>
      <c r="E4" s="4">
        <v>2</v>
      </c>
      <c r="F4" s="4"/>
      <c r="G4" s="5">
        <f t="shared" si="0"/>
        <v>4</v>
      </c>
      <c r="H4" s="3">
        <v>4</v>
      </c>
      <c r="I4" s="3">
        <v>4</v>
      </c>
      <c r="J4" s="4" t="s">
        <v>15</v>
      </c>
      <c r="K4" s="4"/>
      <c r="L4" s="4" t="str">
        <f t="shared" si="1"/>
        <v>Page completed</v>
      </c>
    </row>
    <row r="5" spans="1:12">
      <c r="A5" s="3">
        <v>4</v>
      </c>
      <c r="B5" s="4" t="s">
        <v>36</v>
      </c>
      <c r="C5" s="4"/>
      <c r="D5" s="4"/>
      <c r="E5" s="4"/>
      <c r="F5" s="4"/>
      <c r="G5" s="5">
        <f t="shared" si="0"/>
        <v>0</v>
      </c>
      <c r="H5" s="3"/>
      <c r="I5" s="3"/>
      <c r="J5" s="4"/>
      <c r="K5" s="4"/>
      <c r="L5" s="4" t="str">
        <f t="shared" si="1"/>
        <v>Yet to be completed</v>
      </c>
    </row>
    <row r="6" spans="1:12">
      <c r="A6" s="3">
        <v>5</v>
      </c>
      <c r="B6" s="4" t="s">
        <v>37</v>
      </c>
      <c r="C6" s="4">
        <v>0</v>
      </c>
      <c r="D6" s="4">
        <v>0</v>
      </c>
      <c r="E6" s="4">
        <v>0</v>
      </c>
      <c r="F6" s="4">
        <v>0</v>
      </c>
      <c r="G6" s="5">
        <f t="shared" si="0"/>
        <v>0</v>
      </c>
      <c r="H6" s="3">
        <v>0</v>
      </c>
      <c r="I6" s="3">
        <v>0</v>
      </c>
      <c r="J6" s="4" t="s">
        <v>38</v>
      </c>
      <c r="K6" s="4" t="s">
        <v>39</v>
      </c>
      <c r="L6" s="4" t="str">
        <f>IF(AND(G6&gt;-1,G6=H6),"Page completed","Yet to be completed")</f>
        <v>Page completed</v>
      </c>
    </row>
    <row r="7" spans="1:12">
      <c r="A7" s="3">
        <v>6</v>
      </c>
      <c r="B7" s="4" t="s">
        <v>40</v>
      </c>
      <c r="C7" s="4">
        <v>1</v>
      </c>
      <c r="D7" s="4"/>
      <c r="E7" s="4"/>
      <c r="F7" s="4"/>
      <c r="G7" s="5">
        <f t="shared" si="0"/>
        <v>1</v>
      </c>
      <c r="H7" s="3">
        <v>0</v>
      </c>
      <c r="I7" s="3">
        <v>0</v>
      </c>
      <c r="J7" s="4" t="s">
        <v>15</v>
      </c>
      <c r="K7" s="4" t="s">
        <v>35</v>
      </c>
      <c r="L7" s="4" t="str">
        <f>IF(AND(G7&gt;0,G7=H7),"Page completed","Yet to be completed")</f>
        <v>Yet to be completed</v>
      </c>
    </row>
    <row r="8" spans="1:12">
      <c r="A8" s="3">
        <v>7</v>
      </c>
      <c r="B8" s="4" t="s">
        <v>41</v>
      </c>
      <c r="C8" s="4">
        <v>1</v>
      </c>
      <c r="D8" s="4">
        <v>2</v>
      </c>
      <c r="E8" s="4"/>
      <c r="F8" s="4"/>
      <c r="G8" s="5">
        <f t="shared" si="0"/>
        <v>3</v>
      </c>
      <c r="H8" s="3">
        <v>1</v>
      </c>
      <c r="I8" s="3">
        <v>1</v>
      </c>
      <c r="J8" s="4"/>
      <c r="K8" s="4"/>
      <c r="L8" s="4" t="str">
        <f t="shared" si="1"/>
        <v>Yet to be completed</v>
      </c>
    </row>
    <row r="9" spans="1:12">
      <c r="A9" s="3">
        <v>8</v>
      </c>
      <c r="B9" s="4" t="s">
        <v>42</v>
      </c>
      <c r="C9" s="4"/>
      <c r="D9" s="4"/>
      <c r="E9" s="4"/>
      <c r="F9" s="4"/>
      <c r="G9" s="5">
        <f t="shared" si="0"/>
        <v>0</v>
      </c>
      <c r="H9" s="3"/>
      <c r="I9" s="3"/>
      <c r="J9" s="4"/>
      <c r="K9" s="4"/>
      <c r="L9" s="4" t="str">
        <f t="shared" si="1"/>
        <v>Yet to be completed</v>
      </c>
    </row>
    <row r="10" spans="1:12">
      <c r="A10" s="3">
        <v>9</v>
      </c>
      <c r="B10" s="4" t="s">
        <v>43</v>
      </c>
      <c r="C10" s="4"/>
      <c r="D10" s="4"/>
      <c r="E10" s="4"/>
      <c r="F10" s="4"/>
      <c r="G10" s="5">
        <f t="shared" si="0"/>
        <v>0</v>
      </c>
      <c r="H10" s="3"/>
      <c r="I10" s="3"/>
      <c r="J10" s="4"/>
      <c r="K10" s="4"/>
      <c r="L10" s="4" t="str">
        <f t="shared" si="1"/>
        <v>Yet to be completed</v>
      </c>
    </row>
    <row r="11" spans="1:12">
      <c r="A11" s="3">
        <v>10</v>
      </c>
      <c r="B11" s="4" t="s">
        <v>44</v>
      </c>
      <c r="C11" s="4"/>
      <c r="D11" s="4"/>
      <c r="E11" s="4"/>
      <c r="F11" s="4"/>
      <c r="G11" s="5">
        <f t="shared" si="0"/>
        <v>0</v>
      </c>
      <c r="H11" s="3"/>
      <c r="I11" s="3"/>
      <c r="J11" s="4"/>
      <c r="K11" s="4"/>
      <c r="L11" s="4" t="str">
        <f t="shared" si="1"/>
        <v>Yet to be completed</v>
      </c>
    </row>
    <row r="12" spans="1:12">
      <c r="A12" s="3">
        <v>11</v>
      </c>
      <c r="B12" s="4" t="s">
        <v>45</v>
      </c>
      <c r="C12" s="4"/>
      <c r="D12" s="4"/>
      <c r="E12" s="4"/>
      <c r="F12" s="4"/>
      <c r="G12" s="5">
        <f t="shared" si="0"/>
        <v>0</v>
      </c>
      <c r="H12" s="3"/>
      <c r="I12" s="3"/>
      <c r="J12" s="4"/>
      <c r="K12" s="4"/>
      <c r="L12" s="4" t="str">
        <f t="shared" si="1"/>
        <v>Yet to be completed</v>
      </c>
    </row>
    <row r="13" spans="1:12">
      <c r="A13" s="3">
        <v>12</v>
      </c>
      <c r="B13" s="4" t="s">
        <v>46</v>
      </c>
      <c r="C13" s="4"/>
      <c r="D13" s="4"/>
      <c r="E13" s="4"/>
      <c r="F13" s="4"/>
      <c r="G13" s="5">
        <f t="shared" si="0"/>
        <v>0</v>
      </c>
      <c r="H13" s="3"/>
      <c r="I13" s="3"/>
      <c r="J13" s="4"/>
      <c r="K13" s="4"/>
      <c r="L13" s="4" t="str">
        <f t="shared" si="1"/>
        <v>Yet to be completed</v>
      </c>
    </row>
    <row r="14" spans="1:12">
      <c r="A14" s="3">
        <v>13</v>
      </c>
      <c r="B14" s="4" t="s">
        <v>47</v>
      </c>
      <c r="C14" s="4"/>
      <c r="D14" s="4"/>
      <c r="E14" s="4"/>
      <c r="F14" s="4"/>
      <c r="G14" s="5">
        <f t="shared" si="0"/>
        <v>0</v>
      </c>
      <c r="H14" s="3"/>
      <c r="I14" s="3"/>
      <c r="J14" s="4"/>
      <c r="K14" s="4"/>
      <c r="L14" s="4" t="str">
        <f t="shared" si="1"/>
        <v>Yet to be completed</v>
      </c>
    </row>
    <row r="15" ht="15.75" spans="1:12">
      <c r="A15" s="3">
        <v>14</v>
      </c>
      <c r="B15" s="6" t="s">
        <v>48</v>
      </c>
      <c r="C15" s="6"/>
      <c r="D15" s="6"/>
      <c r="E15" s="6"/>
      <c r="F15" s="6"/>
      <c r="G15" s="7">
        <f t="shared" si="0"/>
        <v>0</v>
      </c>
      <c r="H15" s="8"/>
      <c r="I15" s="8"/>
      <c r="J15" s="4"/>
      <c r="K15" s="4"/>
      <c r="L15" s="4" t="str">
        <f t="shared" si="1"/>
        <v>Yet to be completed</v>
      </c>
    </row>
    <row r="16" ht="15.75" spans="1:12">
      <c r="A16" s="9"/>
      <c r="B16" s="10" t="s">
        <v>49</v>
      </c>
      <c r="C16" s="11">
        <f>SUM(C2:C15)</f>
        <v>6</v>
      </c>
      <c r="D16" s="11">
        <f t="shared" ref="D16:I16" si="2">SUM(D2:D15)</f>
        <v>2</v>
      </c>
      <c r="E16" s="11">
        <f t="shared" si="2"/>
        <v>2</v>
      </c>
      <c r="F16" s="11">
        <f t="shared" si="2"/>
        <v>0</v>
      </c>
      <c r="G16" s="11">
        <f t="shared" si="2"/>
        <v>10</v>
      </c>
      <c r="H16" s="11">
        <f t="shared" si="2"/>
        <v>6</v>
      </c>
      <c r="I16" s="13">
        <f t="shared" si="2"/>
        <v>6</v>
      </c>
      <c r="J16" s="14"/>
      <c r="K16" s="4"/>
      <c r="L16" s="4"/>
    </row>
  </sheetData>
  <sortState ref="B3:B15">
    <sortCondition ref="B3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B12" sqref="B12"/>
    </sheetView>
  </sheetViews>
  <sheetFormatPr defaultColWidth="10.2857142857143" defaultRowHeight="15" outlineLevelCol="5"/>
  <cols>
    <col min="1" max="1" width="5.42857142857143" customWidth="1"/>
    <col min="2" max="2" width="52.7142857142857" customWidth="1"/>
    <col min="3" max="3" width="62.3333333333333" customWidth="1"/>
    <col min="4" max="4" width="16.7142857142857" customWidth="1"/>
    <col min="5" max="5" width="12.7142857142857" customWidth="1"/>
    <col min="6" max="6" width="5.14285714285714" customWidth="1"/>
  </cols>
  <sheetData>
    <row r="1" customFormat="1" spans="1:5">
      <c r="A1" t="s">
        <v>0</v>
      </c>
      <c r="B1" t="s">
        <v>1</v>
      </c>
      <c r="C1" t="s">
        <v>2</v>
      </c>
      <c r="D1" t="s">
        <v>3</v>
      </c>
      <c r="E1" t="s">
        <v>50</v>
      </c>
    </row>
    <row r="2" spans="1:6">
      <c r="A2">
        <v>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</row>
    <row r="3" spans="1:6">
      <c r="A3">
        <v>2</v>
      </c>
      <c r="B3" t="s">
        <v>51</v>
      </c>
      <c r="C3" t="s">
        <v>56</v>
      </c>
      <c r="D3" t="s">
        <v>57</v>
      </c>
      <c r="E3" t="s">
        <v>54</v>
      </c>
      <c r="F3" t="s">
        <v>55</v>
      </c>
    </row>
    <row r="4" spans="1:6">
      <c r="A4">
        <v>3</v>
      </c>
      <c r="B4" t="s">
        <v>51</v>
      </c>
      <c r="C4" t="s">
        <v>58</v>
      </c>
      <c r="D4" t="s">
        <v>59</v>
      </c>
      <c r="E4" t="s">
        <v>54</v>
      </c>
      <c r="F4" t="s">
        <v>55</v>
      </c>
    </row>
    <row r="5" spans="1:6">
      <c r="A5">
        <v>4</v>
      </c>
      <c r="B5" t="s">
        <v>51</v>
      </c>
      <c r="C5" t="s">
        <v>60</v>
      </c>
      <c r="D5" t="s">
        <v>59</v>
      </c>
      <c r="E5" t="s">
        <v>54</v>
      </c>
      <c r="F5" t="s">
        <v>55</v>
      </c>
    </row>
    <row r="6" spans="1:6">
      <c r="A6">
        <v>5</v>
      </c>
      <c r="B6" t="s">
        <v>51</v>
      </c>
      <c r="C6" t="s">
        <v>61</v>
      </c>
      <c r="D6" t="s">
        <v>59</v>
      </c>
      <c r="E6" t="s">
        <v>54</v>
      </c>
      <c r="F6" t="s">
        <v>55</v>
      </c>
    </row>
    <row r="7" spans="1:6">
      <c r="A7">
        <v>6</v>
      </c>
      <c r="B7" t="s">
        <v>51</v>
      </c>
      <c r="C7" t="s">
        <v>62</v>
      </c>
      <c r="D7" t="s">
        <v>63</v>
      </c>
      <c r="E7" t="s">
        <v>64</v>
      </c>
      <c r="F7" t="s">
        <v>55</v>
      </c>
    </row>
    <row r="8" spans="1:6">
      <c r="A8">
        <v>7</v>
      </c>
      <c r="B8" t="s">
        <v>65</v>
      </c>
      <c r="C8" t="s">
        <v>66</v>
      </c>
      <c r="D8" t="s">
        <v>67</v>
      </c>
      <c r="E8" t="s">
        <v>67</v>
      </c>
      <c r="F8" t="s">
        <v>55</v>
      </c>
    </row>
    <row r="9" spans="1:6">
      <c r="A9">
        <v>8</v>
      </c>
      <c r="B9" t="s">
        <v>65</v>
      </c>
      <c r="C9" t="s">
        <v>19</v>
      </c>
      <c r="D9" t="s">
        <v>68</v>
      </c>
      <c r="E9" t="s">
        <v>54</v>
      </c>
      <c r="F9" t="s">
        <v>55</v>
      </c>
    </row>
    <row r="10" spans="1:6">
      <c r="A10">
        <v>9</v>
      </c>
      <c r="B10" t="s">
        <v>65</v>
      </c>
      <c r="C10" t="s">
        <v>69</v>
      </c>
      <c r="D10" t="s">
        <v>68</v>
      </c>
      <c r="E10" t="s">
        <v>54</v>
      </c>
      <c r="F10" t="s">
        <v>55</v>
      </c>
    </row>
    <row r="11" spans="1:6">
      <c r="A11">
        <v>10</v>
      </c>
      <c r="B11" t="s">
        <v>70</v>
      </c>
      <c r="C11" t="s">
        <v>71</v>
      </c>
      <c r="D11" t="s">
        <v>64</v>
      </c>
      <c r="E11" t="s">
        <v>64</v>
      </c>
      <c r="F11" t="s">
        <v>55</v>
      </c>
    </row>
    <row r="12" spans="1:6">
      <c r="A12">
        <v>11</v>
      </c>
      <c r="B12" t="s">
        <v>70</v>
      </c>
      <c r="C12" t="s">
        <v>72</v>
      </c>
      <c r="D12" t="s">
        <v>64</v>
      </c>
      <c r="E12" t="s">
        <v>64</v>
      </c>
      <c r="F12" t="s">
        <v>55</v>
      </c>
    </row>
    <row r="13" spans="1:6">
      <c r="A13">
        <v>12</v>
      </c>
      <c r="B13" t="s">
        <v>70</v>
      </c>
      <c r="C13" t="s">
        <v>73</v>
      </c>
      <c r="D13" t="s">
        <v>54</v>
      </c>
      <c r="E13" t="s">
        <v>54</v>
      </c>
      <c r="F13" t="s">
        <v>55</v>
      </c>
    </row>
    <row r="14" spans="1:6">
      <c r="A14">
        <v>13</v>
      </c>
      <c r="B14" t="s">
        <v>74</v>
      </c>
      <c r="C14" t="s">
        <v>75</v>
      </c>
      <c r="D14" t="s">
        <v>54</v>
      </c>
      <c r="E14" t="s">
        <v>54</v>
      </c>
      <c r="F14" t="s">
        <v>55</v>
      </c>
    </row>
    <row r="15" spans="1:6">
      <c r="A15">
        <v>14</v>
      </c>
      <c r="B15" t="s">
        <v>74</v>
      </c>
      <c r="C15" t="s">
        <v>76</v>
      </c>
      <c r="D15" t="s">
        <v>54</v>
      </c>
      <c r="E15" t="s">
        <v>54</v>
      </c>
      <c r="F15" t="s">
        <v>55</v>
      </c>
    </row>
    <row r="16" spans="1:6">
      <c r="A16">
        <v>15</v>
      </c>
      <c r="B16" t="s">
        <v>74</v>
      </c>
      <c r="C16" t="s">
        <v>77</v>
      </c>
      <c r="D16" t="s">
        <v>54</v>
      </c>
      <c r="E16" t="s">
        <v>54</v>
      </c>
      <c r="F16" t="s">
        <v>55</v>
      </c>
    </row>
    <row r="17" spans="1:6">
      <c r="A17">
        <v>16</v>
      </c>
      <c r="B17" t="s">
        <v>74</v>
      </c>
      <c r="C17" t="s">
        <v>78</v>
      </c>
      <c r="D17" t="s">
        <v>54</v>
      </c>
      <c r="E17" t="s">
        <v>54</v>
      </c>
      <c r="F17" t="s">
        <v>55</v>
      </c>
    </row>
    <row r="18" spans="1:6">
      <c r="A18">
        <v>17</v>
      </c>
      <c r="B18" t="s">
        <v>74</v>
      </c>
      <c r="C18" t="s">
        <v>79</v>
      </c>
      <c r="D18" t="s">
        <v>64</v>
      </c>
      <c r="E18" t="s">
        <v>64</v>
      </c>
      <c r="F18" t="s">
        <v>55</v>
      </c>
    </row>
    <row r="19" spans="1:6">
      <c r="A19">
        <v>18</v>
      </c>
      <c r="B19" t="s">
        <v>74</v>
      </c>
      <c r="C19" t="s">
        <v>80</v>
      </c>
      <c r="D19" t="s">
        <v>54</v>
      </c>
      <c r="E19" t="s">
        <v>54</v>
      </c>
      <c r="F19" t="s">
        <v>55</v>
      </c>
    </row>
    <row r="20" spans="1:6">
      <c r="A20">
        <v>19</v>
      </c>
      <c r="B20" t="s">
        <v>74</v>
      </c>
      <c r="C20" t="s">
        <v>81</v>
      </c>
      <c r="D20" t="s">
        <v>64</v>
      </c>
      <c r="E20" t="s">
        <v>64</v>
      </c>
      <c r="F20" t="s">
        <v>55</v>
      </c>
    </row>
    <row r="21" spans="1:6">
      <c r="A21">
        <v>20</v>
      </c>
      <c r="B21" t="s">
        <v>74</v>
      </c>
      <c r="C21" t="s">
        <v>82</v>
      </c>
      <c r="D21" t="s">
        <v>67</v>
      </c>
      <c r="E21" t="s">
        <v>67</v>
      </c>
      <c r="F21" t="s">
        <v>55</v>
      </c>
    </row>
    <row r="22" spans="1:6">
      <c r="A22">
        <v>21</v>
      </c>
      <c r="B22" t="s">
        <v>74</v>
      </c>
      <c r="C22" t="s">
        <v>83</v>
      </c>
      <c r="D22" t="s">
        <v>64</v>
      </c>
      <c r="E22" t="s">
        <v>64</v>
      </c>
      <c r="F22" t="s">
        <v>55</v>
      </c>
    </row>
    <row r="23" spans="1:6">
      <c r="A23">
        <v>22</v>
      </c>
      <c r="B23" t="s">
        <v>84</v>
      </c>
      <c r="C23" t="s">
        <v>85</v>
      </c>
      <c r="D23" t="s">
        <v>54</v>
      </c>
      <c r="E23" t="s">
        <v>54</v>
      </c>
      <c r="F23" t="s">
        <v>55</v>
      </c>
    </row>
    <row r="24" spans="1:6">
      <c r="A24">
        <v>23</v>
      </c>
      <c r="B24" t="s">
        <v>84</v>
      </c>
      <c r="C24" t="s">
        <v>86</v>
      </c>
      <c r="D24" t="s">
        <v>54</v>
      </c>
      <c r="E24" t="s">
        <v>54</v>
      </c>
      <c r="F24" t="s">
        <v>55</v>
      </c>
    </row>
    <row r="25" spans="1:6">
      <c r="A25">
        <v>24</v>
      </c>
      <c r="B25" t="s">
        <v>84</v>
      </c>
      <c r="C25" t="s">
        <v>78</v>
      </c>
      <c r="D25" t="s">
        <v>54</v>
      </c>
      <c r="E25" t="s">
        <v>54</v>
      </c>
      <c r="F25" t="s">
        <v>55</v>
      </c>
    </row>
    <row r="26" spans="1:6">
      <c r="A26">
        <v>25</v>
      </c>
      <c r="B26" t="s">
        <v>84</v>
      </c>
      <c r="C26" t="s">
        <v>87</v>
      </c>
      <c r="D26" t="s">
        <v>67</v>
      </c>
      <c r="E26" t="s">
        <v>67</v>
      </c>
      <c r="F26" t="s">
        <v>55</v>
      </c>
    </row>
    <row r="27" spans="1:6">
      <c r="A27">
        <v>26</v>
      </c>
      <c r="B27" t="s">
        <v>84</v>
      </c>
      <c r="C27" t="s">
        <v>88</v>
      </c>
      <c r="D27" t="s">
        <v>67</v>
      </c>
      <c r="E27" t="s">
        <v>67</v>
      </c>
      <c r="F27" t="s">
        <v>55</v>
      </c>
    </row>
    <row r="28" spans="1:6">
      <c r="A28">
        <v>27</v>
      </c>
      <c r="B28" t="s">
        <v>84</v>
      </c>
      <c r="C28" t="s">
        <v>89</v>
      </c>
      <c r="D28" t="s">
        <v>67</v>
      </c>
      <c r="E28" t="s">
        <v>67</v>
      </c>
      <c r="F28" t="s">
        <v>55</v>
      </c>
    </row>
    <row r="29" spans="1:6">
      <c r="A29">
        <v>28</v>
      </c>
      <c r="B29" t="s">
        <v>84</v>
      </c>
      <c r="C29" t="s">
        <v>90</v>
      </c>
      <c r="D29" t="s">
        <v>67</v>
      </c>
      <c r="E29" t="s">
        <v>67</v>
      </c>
      <c r="F29" t="s">
        <v>55</v>
      </c>
    </row>
    <row r="30" spans="1:6">
      <c r="A30">
        <v>29</v>
      </c>
      <c r="B30" t="s">
        <v>84</v>
      </c>
      <c r="C30" t="s">
        <v>91</v>
      </c>
      <c r="D30" t="s">
        <v>92</v>
      </c>
      <c r="E30" t="s">
        <v>92</v>
      </c>
      <c r="F30" t="s">
        <v>55</v>
      </c>
    </row>
    <row r="31" spans="1:6">
      <c r="A31">
        <v>30</v>
      </c>
      <c r="B31" t="s">
        <v>93</v>
      </c>
      <c r="C31" t="s">
        <v>94</v>
      </c>
      <c r="D31" t="s">
        <v>54</v>
      </c>
      <c r="E31" t="s">
        <v>54</v>
      </c>
      <c r="F31" t="s">
        <v>55</v>
      </c>
    </row>
    <row r="32" spans="1:6">
      <c r="A32">
        <v>31</v>
      </c>
      <c r="B32" t="s">
        <v>93</v>
      </c>
      <c r="C32" t="s">
        <v>95</v>
      </c>
      <c r="D32" t="s">
        <v>67</v>
      </c>
      <c r="E32" t="s">
        <v>67</v>
      </c>
      <c r="F32" t="s">
        <v>55</v>
      </c>
    </row>
    <row r="33" spans="1:6">
      <c r="A33">
        <v>32</v>
      </c>
      <c r="B33" t="s">
        <v>93</v>
      </c>
      <c r="C33" t="s">
        <v>96</v>
      </c>
      <c r="D33" t="s">
        <v>67</v>
      </c>
      <c r="E33" t="s">
        <v>67</v>
      </c>
      <c r="F33" t="s">
        <v>55</v>
      </c>
    </row>
    <row r="34" spans="1:6">
      <c r="A34">
        <v>33</v>
      </c>
      <c r="B34" t="s">
        <v>93</v>
      </c>
      <c r="C34" t="s">
        <v>97</v>
      </c>
      <c r="D34" t="s">
        <v>54</v>
      </c>
      <c r="E34" t="s">
        <v>54</v>
      </c>
      <c r="F34" t="s">
        <v>55</v>
      </c>
    </row>
    <row r="35" spans="1:6">
      <c r="A35">
        <v>34</v>
      </c>
      <c r="B35" t="s">
        <v>93</v>
      </c>
      <c r="C35" t="s">
        <v>98</v>
      </c>
      <c r="D35" t="s">
        <v>54</v>
      </c>
      <c r="E35" t="s">
        <v>54</v>
      </c>
      <c r="F35" t="s">
        <v>55</v>
      </c>
    </row>
    <row r="36" spans="1:6">
      <c r="A36">
        <v>35</v>
      </c>
      <c r="B36" t="s">
        <v>93</v>
      </c>
      <c r="C36" t="s">
        <v>99</v>
      </c>
      <c r="D36" t="s">
        <v>92</v>
      </c>
      <c r="E36" t="s">
        <v>92</v>
      </c>
      <c r="F36" t="s">
        <v>55</v>
      </c>
    </row>
    <row r="37" spans="1:6">
      <c r="A37">
        <v>36</v>
      </c>
      <c r="B37" t="s">
        <v>100</v>
      </c>
      <c r="C37" t="s">
        <v>101</v>
      </c>
      <c r="D37" t="s">
        <v>54</v>
      </c>
      <c r="E37" t="s">
        <v>54</v>
      </c>
      <c r="F37" t="s">
        <v>55</v>
      </c>
    </row>
    <row r="38" spans="1:6">
      <c r="A38">
        <v>37</v>
      </c>
      <c r="B38" t="s">
        <v>100</v>
      </c>
      <c r="C38" t="s">
        <v>102</v>
      </c>
      <c r="D38" t="s">
        <v>54</v>
      </c>
      <c r="E38" t="s">
        <v>54</v>
      </c>
      <c r="F38" t="s">
        <v>55</v>
      </c>
    </row>
    <row r="39" spans="1:6">
      <c r="A39">
        <v>38</v>
      </c>
      <c r="B39" t="s">
        <v>100</v>
      </c>
      <c r="C39" t="s">
        <v>103</v>
      </c>
      <c r="D39" t="s">
        <v>67</v>
      </c>
      <c r="E39" t="s">
        <v>67</v>
      </c>
      <c r="F39" t="s">
        <v>55</v>
      </c>
    </row>
    <row r="40" spans="1:6">
      <c r="A40">
        <v>39</v>
      </c>
      <c r="B40" t="s">
        <v>104</v>
      </c>
      <c r="C40" t="s">
        <v>105</v>
      </c>
      <c r="D40" t="s">
        <v>67</v>
      </c>
      <c r="E40" t="s">
        <v>67</v>
      </c>
      <c r="F40" t="s">
        <v>55</v>
      </c>
    </row>
    <row r="41" spans="1:6">
      <c r="A41">
        <v>40</v>
      </c>
      <c r="B41" t="s">
        <v>100</v>
      </c>
      <c r="C41" t="s">
        <v>91</v>
      </c>
      <c r="D41" t="s">
        <v>92</v>
      </c>
      <c r="E41" t="s">
        <v>92</v>
      </c>
      <c r="F41" t="s">
        <v>55</v>
      </c>
    </row>
    <row r="42" spans="1:6">
      <c r="A42">
        <v>41</v>
      </c>
      <c r="B42" t="s">
        <v>106</v>
      </c>
      <c r="C42" t="s">
        <v>107</v>
      </c>
      <c r="D42" t="s">
        <v>54</v>
      </c>
      <c r="E42" t="s">
        <v>54</v>
      </c>
      <c r="F42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Sandeep Guna MK</cp:lastModifiedBy>
  <dcterms:created xsi:type="dcterms:W3CDTF">2026-01-17T16:39:00Z</dcterms:created>
  <dcterms:modified xsi:type="dcterms:W3CDTF">2026-01-23T12:25:23Z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1741D7777AB2412A8D7B2823F54E20DC_11</vt:lpwstr>
  </property>
  <property fmtid="{D5CDD505-2E9C-101B-9397-08002B2CF9AE}" pid="3" name="KSOProductBuildVer">
    <vt:lpwstr>2057-12.2.0.23197</vt:lpwstr>
  </property>
</Properties>
</file>